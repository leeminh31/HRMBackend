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 Minh\Downloads\"/>
    </mc:Choice>
  </mc:AlternateContent>
  <xr:revisionPtr revIDLastSave="0" documentId="13_ncr:1_{4BA98BBF-F8FB-4823-9A54-8442B59385D5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Sheet1!$A$2:$AC$12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T3" i="1" s="1"/>
  <c r="U3" i="1" s="1"/>
  <c r="R4" i="1"/>
  <c r="T4" i="1" s="1"/>
  <c r="U4" i="1" s="1"/>
  <c r="R5" i="1"/>
  <c r="T5" i="1" s="1"/>
  <c r="U5" i="1" s="1"/>
  <c r="R6" i="1"/>
  <c r="T6" i="1" s="1"/>
  <c r="U6" i="1" s="1"/>
  <c r="R7" i="1"/>
  <c r="T7" i="1" s="1"/>
  <c r="U7" i="1" s="1"/>
  <c r="R8" i="1"/>
  <c r="T8" i="1" s="1"/>
  <c r="U8" i="1" s="1"/>
  <c r="R9" i="1"/>
  <c r="T9" i="1" s="1"/>
  <c r="U9" i="1" s="1"/>
  <c r="R10" i="1"/>
  <c r="T10" i="1" s="1"/>
  <c r="U10" i="1" s="1"/>
  <c r="R11" i="1"/>
  <c r="T11" i="1" s="1"/>
  <c r="U11" i="1" s="1"/>
  <c r="R12" i="1"/>
  <c r="T12" i="1" s="1"/>
  <c r="U12" i="1" s="1"/>
</calcChain>
</file>

<file path=xl/sharedStrings.xml><?xml version="1.0" encoding="utf-8"?>
<sst xmlns="http://schemas.openxmlformats.org/spreadsheetml/2006/main" count="180" uniqueCount="146">
  <si>
    <t>STT</t>
  </si>
  <si>
    <t>HỌ VÀ TÊN</t>
  </si>
  <si>
    <t>NGÀY SINH</t>
  </si>
  <si>
    <t>SỐ CMND/ CCCD</t>
  </si>
  <si>
    <t>NGÀY CẤP</t>
  </si>
  <si>
    <t>SỐ ĐIỆN THOẠI</t>
  </si>
  <si>
    <t>THỜI GIAN LÀM VIỆC (GIỜ/ TUẦN)</t>
  </si>
  <si>
    <t>NGÀY KÝ HĐLĐ LẦN 1</t>
  </si>
  <si>
    <t>NGÀY HẾT HẠN HĐLĐ LẦN 1</t>
  </si>
  <si>
    <t>SỐ TÀI KHOẢN NGÂN HÀNG</t>
  </si>
  <si>
    <t>TÊN NGÂN HÀNG</t>
  </si>
  <si>
    <t>Chuyên viên Hành chính Nhân sự</t>
  </si>
  <si>
    <t>Nhân viên Buồng phòng</t>
  </si>
  <si>
    <t>NGÀY KÝ HĐLĐ LẦN 2</t>
  </si>
  <si>
    <t>NGÀY HẾT HẠN HĐLĐ LẦN 2</t>
  </si>
  <si>
    <t>SỐ HĐLĐ LẦN 2</t>
  </si>
  <si>
    <t>Đặng Thị Mẫn Chi</t>
  </si>
  <si>
    <t>Lê Thị Ngọc Đẹp</t>
  </si>
  <si>
    <t>Nguyễn Thị Thuận</t>
  </si>
  <si>
    <t>Phan Đình Trung</t>
  </si>
  <si>
    <t>Nguyễn Lý Thiên Ngân</t>
  </si>
  <si>
    <t>Phan Thị Thùy Linh</t>
  </si>
  <si>
    <t>Trần Vi Đan</t>
  </si>
  <si>
    <t>Ngô Thị Hảo</t>
  </si>
  <si>
    <t>Nguyễn Thị Kim Trang</t>
  </si>
  <si>
    <t>Nguyễn Thị Hiếu</t>
  </si>
  <si>
    <t>Nguyễn Minh Tuấn</t>
  </si>
  <si>
    <t>Hành chính Nhân sự</t>
  </si>
  <si>
    <t>060189012163</t>
  </si>
  <si>
    <t>KP Nà Bồi, TT Ma Lâm, H Hàm Thuận Bắc, Tỉnh Bình Thuận</t>
  </si>
  <si>
    <t>060189011640</t>
  </si>
  <si>
    <t>Tổ 9, KP 12, P Mũi Né, Tp Phan Thiết, Tỉnh Bình Thuận</t>
  </si>
  <si>
    <t>060197001353</t>
  </si>
  <si>
    <t>Tổ 2, khu phố 8, Mũi Né, Phan Thiết, Bình Thuận</t>
  </si>
  <si>
    <t>060070014156</t>
  </si>
  <si>
    <t>Phường Đức Long, Phan Thiết, Bình Thuận</t>
  </si>
  <si>
    <t>060192015307</t>
  </si>
  <si>
    <t>Thị Trấn Thuận Nam, Huyện Hàm Thuận Nam, Tỉnh Bình Thuận</t>
  </si>
  <si>
    <t>042189008048</t>
  </si>
  <si>
    <t>179/2 Nguyễn Đình Chiểu, Hàm Tiến, Phan Thiết, Bình Thuận</t>
  </si>
  <si>
    <t>060199011355</t>
  </si>
  <si>
    <t>Khu phố 3, Phường Tân Thiện, Thị xã La Gi, Tỉnh Bình Thuận</t>
  </si>
  <si>
    <t>060192002607</t>
  </si>
  <si>
    <t>Thôn An Bình, xã Bình An, huyện Bắc Bình, tỉnh Bình Thuận</t>
  </si>
  <si>
    <t>060194002872</t>
  </si>
  <si>
    <t>Thôn Thái Hòa, xã Hồng Thái, huyện Bắc Bình, tỉnh Bình Thuận</t>
  </si>
  <si>
    <t>060186012134</t>
  </si>
  <si>
    <t>Xã Bình An, huyện Bắc Bình, tỉnh Bình Thuận</t>
  </si>
  <si>
    <t>0932738456</t>
  </si>
  <si>
    <t>0393816624</t>
  </si>
  <si>
    <t>dep.lethingoc@gmail.com</t>
  </si>
  <si>
    <t>12/17 Nguyễn Minh Châu, Mũi Né, Phan Thiết, Bình Thuận</t>
  </si>
  <si>
    <t>0368447029</t>
  </si>
  <si>
    <t>nguyenthithuan.es@gmail.com</t>
  </si>
  <si>
    <t>Khu phố 4, Phường Đức Long, Phan Thiết, Bình Thuận</t>
  </si>
  <si>
    <t>0913768828</t>
  </si>
  <si>
    <t>dinhtrungphan70@gmail.com</t>
  </si>
  <si>
    <t>Khu phố Xuân An, Thành phố Phan Thiết, tỉnh Bình Thuận</t>
  </si>
  <si>
    <t>0333944566</t>
  </si>
  <si>
    <t>nguyenlythienngan@gmail.com</t>
  </si>
  <si>
    <t>0981370532</t>
  </si>
  <si>
    <t>phanlinh531989@gmail.com</t>
  </si>
  <si>
    <t>Tổ 25, Khu phố 3, Phường Tân Thiện, Thị xã La Gi, Tỉnh Bình Thuận</t>
  </si>
  <si>
    <t>0377868579</t>
  </si>
  <si>
    <t>vidan2403@gmail.com</t>
  </si>
  <si>
    <t>Thôn Bình An, xã Bình An, huyện Bắc Bình, tỉnh Bình Thuận</t>
  </si>
  <si>
    <t>0339603954</t>
  </si>
  <si>
    <t>haongo3954@gmail.com</t>
  </si>
  <si>
    <t>0949377032</t>
  </si>
  <si>
    <t>ngokienhao7032@gmail.com</t>
  </si>
  <si>
    <t>0985015531</t>
  </si>
  <si>
    <t>hieunguyen15531@gmail.com</t>
  </si>
  <si>
    <t>61110000913129</t>
  </si>
  <si>
    <t>BIDV</t>
  </si>
  <si>
    <t>Lê Thị Mẫn Thi</t>
  </si>
  <si>
    <t>61110000929375</t>
  </si>
  <si>
    <t>0382048557</t>
  </si>
  <si>
    <t>61110000922806</t>
  </si>
  <si>
    <t>Đặng Thị Bích Liên</t>
  </si>
  <si>
    <t>0925766050</t>
  </si>
  <si>
    <t>61110000936205</t>
  </si>
  <si>
    <t>0979741765</t>
  </si>
  <si>
    <t>13510000983343</t>
  </si>
  <si>
    <t>0382180648</t>
  </si>
  <si>
    <t>61110000397608</t>
  </si>
  <si>
    <t>Từ Chỉnh</t>
  </si>
  <si>
    <t>0933440383</t>
  </si>
  <si>
    <t>Trần Ngọc Thúy An</t>
  </si>
  <si>
    <t>0355482309</t>
  </si>
  <si>
    <t>61110000911442</t>
  </si>
  <si>
    <t>0375859562</t>
  </si>
  <si>
    <t>61110000911424</t>
  </si>
  <si>
    <t>Ngô Phước Hận</t>
  </si>
  <si>
    <t>0949774822</t>
  </si>
  <si>
    <t>61110000911479</t>
  </si>
  <si>
    <t>Lê Ngọc Thảo</t>
  </si>
  <si>
    <t>0979352115</t>
  </si>
  <si>
    <t>MÃ NV</t>
  </si>
  <si>
    <t>PHÒNG BAN</t>
  </si>
  <si>
    <t>CHỨC VỤ</t>
  </si>
  <si>
    <t>QUÊ QUÁN</t>
  </si>
  <si>
    <t>NƠI Ở HIỆN TẠI</t>
  </si>
  <si>
    <t>EMAIL</t>
  </si>
  <si>
    <t>NGÀY KÝ HĐTV</t>
  </si>
  <si>
    <t>NGÀY HẾT HẠN HĐTV</t>
  </si>
  <si>
    <t>TÊN HĐTV</t>
  </si>
  <si>
    <t>HỌ TÊN NGƯỜI THÂN LIÊN HỆ</t>
  </si>
  <si>
    <t>SỐ ĐT NGƯỜI LIÊN HỆ</t>
  </si>
  <si>
    <t>ID VÂN TAY</t>
  </si>
  <si>
    <t>IDJ23031001</t>
  </si>
  <si>
    <t>IDJ23031002</t>
  </si>
  <si>
    <t>IDJ23031003</t>
  </si>
  <si>
    <t>IDJ23031004</t>
  </si>
  <si>
    <t>IDJ23031005</t>
  </si>
  <si>
    <t>IDJ23031006</t>
  </si>
  <si>
    <t>IDJ23031007</t>
  </si>
  <si>
    <t>IDJ23031008</t>
  </si>
  <si>
    <t>IDJ23031009</t>
  </si>
  <si>
    <t>IDJ23031010</t>
  </si>
  <si>
    <t>Kinh doanh</t>
  </si>
  <si>
    <t>Nhân viên Kinh doanh</t>
  </si>
  <si>
    <t>IDJ23031001/01-2023/HĐTV-IDJ</t>
  </si>
  <si>
    <t>IDJ23031002/02-2023/HĐTV-IDJ</t>
  </si>
  <si>
    <t>IDJ23031003/03-2023/HĐTV-IDJ</t>
  </si>
  <si>
    <t>IDJ23031004/04-2023/HĐTV-IDJ</t>
  </si>
  <si>
    <t>IDJ23031004/05-2023/HĐTV-IDJ</t>
  </si>
  <si>
    <t>IDJ23031006/06-2023/HĐTV-IDJ</t>
  </si>
  <si>
    <t>IDJ23031007/07-2023/HĐTV-IDJ</t>
  </si>
  <si>
    <t>IDJ23031008/08-2023/HĐTV-IDJ</t>
  </si>
  <si>
    <t>IDJ23031009/08-2023/HĐTV-IDJ</t>
  </si>
  <si>
    <t>IDJ23031010/010-2023/HĐTV-IDJ</t>
  </si>
  <si>
    <t>TÊN HĐLĐ LẦN 1</t>
  </si>
  <si>
    <t>IDJ23031001/01-2023/HĐLĐ1-IDJ</t>
  </si>
  <si>
    <t>IDJ23031001/01-2023/HĐLĐ2-IDJ</t>
  </si>
  <si>
    <t>TỈ LỆ HƯỞNG LƯƠNG TV</t>
  </si>
  <si>
    <t>TỈ LỆ HƯỞNG LƯƠNG CT</t>
  </si>
  <si>
    <t>IDJ23031002/02-2023/HĐLĐ1-IDJ</t>
  </si>
  <si>
    <t>IDJ23031003/03-2023/HĐLĐ1-IDJ</t>
  </si>
  <si>
    <t>IDJ23031004/04-2023/HĐLĐ1-IDJ</t>
  </si>
  <si>
    <t>IDJ23031004/05-2023/HĐLĐ1-IDJ</t>
  </si>
  <si>
    <t>IDJ23031006/06-2023/HĐLĐ1-IDJ</t>
  </si>
  <si>
    <t>IDJ23031007/07-2023/HĐLĐ1-IDJ</t>
  </si>
  <si>
    <t>IDJ23031008/08-2023/HĐLĐ1-IDJ</t>
  </si>
  <si>
    <t>IDJ23031009/08-2023/HĐLĐ1-IDJ</t>
  </si>
  <si>
    <t>IDJ23031010/010-2023/HĐLĐ1-IDJ</t>
  </si>
  <si>
    <t>dangthimanchigmail.com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</si>
</sst>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3" xfId="0" quotePrefix="1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14" fontId="4" fillId="0" borderId="3" xfId="0" applyNumberFormat="1" applyFont="1" applyBorder="1"/>
    <xf numFmtId="14" fontId="2" fillId="0" borderId="4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zoomScale="90" zoomScaleNormal="90" workbookViewId="0">
      <pane xSplit="5" ySplit="2" topLeftCell="M3" activePane="bottomRight" state="frozen"/>
      <selection pane="topRight" activeCell="E1" sqref="E1"/>
      <selection pane="bottomLeft" activeCell="A3" sqref="A3"/>
      <selection pane="bottomRight" activeCell="R3" sqref="R3"/>
    </sheetView>
  </sheetViews>
  <sheetFormatPr defaultRowHeight="14.4" x14ac:dyDescent="0.3"/>
  <cols>
    <col min="1" max="1" width="5.109375" bestFit="1" customWidth="1"/>
    <col min="2" max="2" width="24.5546875" customWidth="1"/>
    <col min="3" max="3" width="14.5546875" customWidth="1"/>
    <col min="4" max="4" width="26.44140625" bestFit="1" customWidth="1"/>
    <col min="5" max="5" width="20.44140625" customWidth="1"/>
    <col min="6" max="6" width="22.44140625" customWidth="1"/>
    <col min="7" max="7" width="20.21875" customWidth="1"/>
    <col min="8" max="8" width="14.44140625" bestFit="1" customWidth="1"/>
    <col min="9" max="9" width="12.109375" bestFit="1" customWidth="1"/>
    <col min="10" max="10" width="32.6640625" customWidth="1"/>
    <col min="11" max="11" width="29.44140625" customWidth="1"/>
    <col min="12" max="12" width="13.5546875" customWidth="1"/>
    <col min="13" max="13" width="23.5546875" customWidth="1"/>
    <col min="17" max="18" width="13.44140625" customWidth="1"/>
    <col min="19" max="19" width="35.5546875" style="9" customWidth="1"/>
    <col min="20" max="20" width="12.88671875" customWidth="1"/>
    <col min="21" max="21" width="12.44140625" customWidth="1"/>
    <col min="22" max="22" width="39.5546875" style="9" customWidth="1"/>
    <col min="23" max="24" width="12.88671875" customWidth="1"/>
    <col min="25" max="25" width="38.88671875" style="9" customWidth="1"/>
    <col min="26" max="26" width="18.6640625" customWidth="1"/>
    <col min="27" max="27" width="11.5546875" customWidth="1"/>
    <col min="28" max="28" width="15" style="32" customWidth="1"/>
    <col min="29" max="29" width="13.109375" customWidth="1"/>
  </cols>
  <sheetData>
    <row r="1" spans="1:29" ht="82.8" x14ac:dyDescent="0.3">
      <c r="A1" s="1" t="s">
        <v>0</v>
      </c>
      <c r="B1" s="2" t="s">
        <v>97</v>
      </c>
      <c r="C1" s="2" t="s">
        <v>108</v>
      </c>
      <c r="D1" s="3" t="s">
        <v>1</v>
      </c>
      <c r="E1" s="4" t="s">
        <v>98</v>
      </c>
      <c r="F1" s="3" t="s">
        <v>99</v>
      </c>
      <c r="G1" s="3" t="s">
        <v>2</v>
      </c>
      <c r="H1" s="5" t="s">
        <v>3</v>
      </c>
      <c r="I1" s="3" t="s">
        <v>4</v>
      </c>
      <c r="J1" s="3" t="s">
        <v>100</v>
      </c>
      <c r="K1" s="3" t="s">
        <v>101</v>
      </c>
      <c r="L1" s="3" t="s">
        <v>5</v>
      </c>
      <c r="M1" s="6" t="s">
        <v>102</v>
      </c>
      <c r="N1" s="7" t="s">
        <v>6</v>
      </c>
      <c r="O1" s="7" t="s">
        <v>134</v>
      </c>
      <c r="P1" s="7" t="s">
        <v>135</v>
      </c>
      <c r="Q1" s="6" t="s">
        <v>103</v>
      </c>
      <c r="R1" s="6" t="s">
        <v>104</v>
      </c>
      <c r="S1" s="6" t="s">
        <v>105</v>
      </c>
      <c r="T1" s="6" t="s">
        <v>7</v>
      </c>
      <c r="U1" s="6" t="s">
        <v>8</v>
      </c>
      <c r="V1" s="6" t="s">
        <v>131</v>
      </c>
      <c r="W1" s="6" t="s">
        <v>13</v>
      </c>
      <c r="X1" s="6" t="s">
        <v>14</v>
      </c>
      <c r="Y1" s="6" t="s">
        <v>15</v>
      </c>
      <c r="Z1" s="6" t="s">
        <v>9</v>
      </c>
      <c r="AA1" s="6" t="s">
        <v>10</v>
      </c>
      <c r="AB1" s="6" t="s">
        <v>106</v>
      </c>
      <c r="AC1" s="6" t="s">
        <v>107</v>
      </c>
    </row>
    <row r="2" spans="1:29" x14ac:dyDescent="0.3">
      <c r="A2" s="29"/>
      <c r="B2" s="30">
        <v>1</v>
      </c>
      <c r="C2" s="30">
        <v>2</v>
      </c>
      <c r="D2" s="30">
        <v>3</v>
      </c>
      <c r="E2" s="30">
        <v>4</v>
      </c>
      <c r="F2" s="30">
        <v>5</v>
      </c>
      <c r="G2" s="30">
        <v>6</v>
      </c>
      <c r="H2" s="30">
        <v>7</v>
      </c>
      <c r="I2" s="30">
        <v>8</v>
      </c>
      <c r="J2" s="30">
        <v>9</v>
      </c>
      <c r="K2" s="30">
        <v>10</v>
      </c>
      <c r="L2" s="30">
        <v>11</v>
      </c>
      <c r="M2" s="30">
        <v>12</v>
      </c>
      <c r="N2" s="30">
        <v>13</v>
      </c>
      <c r="O2" s="30">
        <v>14</v>
      </c>
      <c r="P2" s="30">
        <v>15</v>
      </c>
      <c r="Q2" s="30">
        <v>16</v>
      </c>
      <c r="R2" s="30">
        <v>17</v>
      </c>
      <c r="S2" s="30">
        <v>18</v>
      </c>
      <c r="T2" s="30">
        <v>19</v>
      </c>
      <c r="U2" s="30">
        <v>20</v>
      </c>
      <c r="V2" s="30">
        <v>21</v>
      </c>
      <c r="W2" s="30">
        <v>22</v>
      </c>
      <c r="X2" s="30">
        <v>23</v>
      </c>
      <c r="Y2" s="30">
        <v>24</v>
      </c>
      <c r="Z2" s="30">
        <v>25</v>
      </c>
      <c r="AA2" s="30">
        <v>26</v>
      </c>
      <c r="AB2" s="30">
        <v>27</v>
      </c>
      <c r="AC2" s="30">
        <v>28</v>
      </c>
    </row>
    <row r="3" spans="1:29" s="20" customFormat="1" ht="30" customHeight="1" x14ac:dyDescent="0.3">
      <c r="A3" s="10">
        <v>1</v>
      </c>
      <c r="B3" s="11" t="s">
        <v>109</v>
      </c>
      <c r="C3" s="11">
        <v>1001</v>
      </c>
      <c r="D3" s="12" t="s">
        <v>16</v>
      </c>
      <c r="E3" s="12" t="s">
        <v>27</v>
      </c>
      <c r="F3" s="12" t="s">
        <v>11</v>
      </c>
      <c r="G3" s="13">
        <v>32784</v>
      </c>
      <c r="H3" s="8" t="s">
        <v>28</v>
      </c>
      <c r="I3" s="14">
        <v>44840</v>
      </c>
      <c r="J3" s="15" t="s">
        <v>29</v>
      </c>
      <c r="K3" s="12" t="s">
        <v>29</v>
      </c>
      <c r="L3" s="8" t="s">
        <v>48</v>
      </c>
      <c r="M3" s="16" t="s">
        <v>145</v>
      </c>
      <c r="N3" s="10">
        <v>40</v>
      </c>
      <c r="O3" s="10">
        <v>85</v>
      </c>
      <c r="P3" s="10">
        <v>100</v>
      </c>
      <c r="Q3" s="28">
        <v>45115</v>
      </c>
      <c r="R3" s="18">
        <f>EDATE(Q3,4)</f>
        <v>45238</v>
      </c>
      <c r="S3" s="19" t="s">
        <v>121</v>
      </c>
      <c r="T3" s="27">
        <f>R3+1</f>
        <v>45239</v>
      </c>
      <c r="U3" s="27">
        <f>EDATE(T3,12)</f>
        <v>45605</v>
      </c>
      <c r="V3" s="19" t="s">
        <v>132</v>
      </c>
      <c r="W3" s="27">
        <v>45574</v>
      </c>
      <c r="X3" s="27">
        <v>45938</v>
      </c>
      <c r="Y3" s="19" t="s">
        <v>133</v>
      </c>
      <c r="Z3" s="17" t="s">
        <v>72</v>
      </c>
      <c r="AA3" s="17" t="s">
        <v>73</v>
      </c>
      <c r="AB3" s="31" t="s">
        <v>74</v>
      </c>
      <c r="AC3" s="17" t="s">
        <v>76</v>
      </c>
    </row>
    <row r="4" spans="1:29" s="20" customFormat="1" ht="30" customHeight="1" x14ac:dyDescent="0.3">
      <c r="A4" s="10">
        <v>2</v>
      </c>
      <c r="B4" s="11" t="s">
        <v>110</v>
      </c>
      <c r="C4" s="11">
        <v>1002</v>
      </c>
      <c r="D4" s="12" t="s">
        <v>17</v>
      </c>
      <c r="E4" s="12" t="s">
        <v>27</v>
      </c>
      <c r="F4" s="12" t="s">
        <v>11</v>
      </c>
      <c r="G4" s="13">
        <v>32754</v>
      </c>
      <c r="H4" s="8" t="s">
        <v>30</v>
      </c>
      <c r="I4" s="14">
        <v>44420</v>
      </c>
      <c r="J4" s="15" t="s">
        <v>31</v>
      </c>
      <c r="K4" s="12" t="s">
        <v>31</v>
      </c>
      <c r="L4" s="8" t="s">
        <v>49</v>
      </c>
      <c r="M4" s="16" t="s">
        <v>50</v>
      </c>
      <c r="N4" s="10">
        <v>40</v>
      </c>
      <c r="O4" s="10">
        <v>85</v>
      </c>
      <c r="P4" s="10">
        <v>100</v>
      </c>
      <c r="Q4" s="28">
        <v>45059</v>
      </c>
      <c r="R4" s="18">
        <f t="shared" ref="R4:R12" si="0">EDATE(Q4,3)</f>
        <v>45151</v>
      </c>
      <c r="S4" s="19" t="s">
        <v>122</v>
      </c>
      <c r="T4" s="27">
        <f t="shared" ref="T4:T12" si="1">R4+1</f>
        <v>45152</v>
      </c>
      <c r="U4" s="27">
        <f t="shared" ref="U4:U12" si="2">EDATE(T4,12)</f>
        <v>45518</v>
      </c>
      <c r="V4" s="19" t="s">
        <v>136</v>
      </c>
      <c r="W4" s="17"/>
      <c r="X4" s="17"/>
      <c r="Y4" s="19"/>
      <c r="Z4" s="17" t="s">
        <v>75</v>
      </c>
      <c r="AA4" s="17" t="s">
        <v>73</v>
      </c>
      <c r="AB4" s="31" t="s">
        <v>26</v>
      </c>
      <c r="AC4" s="17" t="s">
        <v>76</v>
      </c>
    </row>
    <row r="5" spans="1:29" s="20" customFormat="1" ht="30" customHeight="1" x14ac:dyDescent="0.3">
      <c r="A5" s="10">
        <v>3</v>
      </c>
      <c r="B5" s="11" t="s">
        <v>111</v>
      </c>
      <c r="C5" s="11">
        <v>1003</v>
      </c>
      <c r="D5" s="12" t="s">
        <v>18</v>
      </c>
      <c r="E5" s="12" t="s">
        <v>27</v>
      </c>
      <c r="F5" s="12" t="s">
        <v>11</v>
      </c>
      <c r="G5" s="13">
        <v>35748</v>
      </c>
      <c r="H5" s="8" t="s">
        <v>32</v>
      </c>
      <c r="I5" s="14">
        <v>44305</v>
      </c>
      <c r="J5" s="12" t="s">
        <v>33</v>
      </c>
      <c r="K5" s="12" t="s">
        <v>51</v>
      </c>
      <c r="L5" s="8" t="s">
        <v>52</v>
      </c>
      <c r="M5" s="12" t="s">
        <v>53</v>
      </c>
      <c r="N5" s="10">
        <v>40</v>
      </c>
      <c r="O5" s="10">
        <v>85</v>
      </c>
      <c r="P5" s="10">
        <v>100</v>
      </c>
      <c r="Q5" s="28">
        <v>45080</v>
      </c>
      <c r="R5" s="18">
        <f t="shared" si="0"/>
        <v>45172</v>
      </c>
      <c r="S5" s="19" t="s">
        <v>123</v>
      </c>
      <c r="T5" s="27">
        <f t="shared" si="1"/>
        <v>45173</v>
      </c>
      <c r="U5" s="27">
        <f t="shared" si="2"/>
        <v>45539</v>
      </c>
      <c r="V5" s="19" t="s">
        <v>137</v>
      </c>
      <c r="W5" s="17"/>
      <c r="X5" s="17"/>
      <c r="Y5" s="19"/>
      <c r="Z5" s="17" t="s">
        <v>77</v>
      </c>
      <c r="AA5" s="17" t="s">
        <v>73</v>
      </c>
      <c r="AB5" s="31" t="s">
        <v>78</v>
      </c>
      <c r="AC5" s="17" t="s">
        <v>79</v>
      </c>
    </row>
    <row r="6" spans="1:29" s="20" customFormat="1" ht="30" customHeight="1" x14ac:dyDescent="0.3">
      <c r="A6" s="10">
        <v>4</v>
      </c>
      <c r="B6" s="11" t="s">
        <v>112</v>
      </c>
      <c r="C6" s="11">
        <v>1004</v>
      </c>
      <c r="D6" s="12" t="s">
        <v>19</v>
      </c>
      <c r="E6" s="12" t="s">
        <v>27</v>
      </c>
      <c r="F6" s="12" t="s">
        <v>11</v>
      </c>
      <c r="G6" s="13">
        <v>25629</v>
      </c>
      <c r="H6" s="8" t="s">
        <v>34</v>
      </c>
      <c r="I6" s="14">
        <v>44420</v>
      </c>
      <c r="J6" s="12" t="s">
        <v>35</v>
      </c>
      <c r="K6" s="12" t="s">
        <v>54</v>
      </c>
      <c r="L6" s="8" t="s">
        <v>55</v>
      </c>
      <c r="M6" s="12" t="s">
        <v>56</v>
      </c>
      <c r="N6" s="10">
        <v>40</v>
      </c>
      <c r="O6" s="10">
        <v>85</v>
      </c>
      <c r="P6" s="10">
        <v>100</v>
      </c>
      <c r="Q6" s="28">
        <v>45087</v>
      </c>
      <c r="R6" s="18">
        <f t="shared" si="0"/>
        <v>45179</v>
      </c>
      <c r="S6" s="19" t="s">
        <v>124</v>
      </c>
      <c r="T6" s="27">
        <f t="shared" si="1"/>
        <v>45180</v>
      </c>
      <c r="U6" s="27">
        <f t="shared" si="2"/>
        <v>45546</v>
      </c>
      <c r="V6" s="19" t="s">
        <v>138</v>
      </c>
      <c r="W6" s="17"/>
      <c r="X6" s="17"/>
      <c r="Y6" s="19"/>
      <c r="Z6" s="17" t="s">
        <v>80</v>
      </c>
      <c r="AA6" s="17" t="s">
        <v>73</v>
      </c>
      <c r="AB6" s="31" t="s">
        <v>78</v>
      </c>
      <c r="AC6" s="17" t="s">
        <v>81</v>
      </c>
    </row>
    <row r="7" spans="1:29" s="20" customFormat="1" ht="30" customHeight="1" x14ac:dyDescent="0.3">
      <c r="A7" s="10">
        <v>5</v>
      </c>
      <c r="B7" s="11" t="s">
        <v>113</v>
      </c>
      <c r="C7" s="11">
        <v>1005</v>
      </c>
      <c r="D7" s="12" t="s">
        <v>20</v>
      </c>
      <c r="E7" s="12" t="s">
        <v>27</v>
      </c>
      <c r="F7" s="12" t="s">
        <v>11</v>
      </c>
      <c r="G7" s="13">
        <v>33857</v>
      </c>
      <c r="H7" s="8" t="s">
        <v>36</v>
      </c>
      <c r="I7" s="14">
        <v>44389</v>
      </c>
      <c r="J7" s="12" t="s">
        <v>37</v>
      </c>
      <c r="K7" s="12" t="s">
        <v>57</v>
      </c>
      <c r="L7" s="8" t="s">
        <v>58</v>
      </c>
      <c r="M7" s="16" t="s">
        <v>59</v>
      </c>
      <c r="N7" s="10">
        <v>40</v>
      </c>
      <c r="O7" s="10">
        <v>85</v>
      </c>
      <c r="P7" s="10">
        <v>100</v>
      </c>
      <c r="Q7" s="28">
        <v>45131</v>
      </c>
      <c r="R7" s="18">
        <f t="shared" si="0"/>
        <v>45223</v>
      </c>
      <c r="S7" s="19" t="s">
        <v>125</v>
      </c>
      <c r="T7" s="27">
        <f t="shared" si="1"/>
        <v>45224</v>
      </c>
      <c r="U7" s="27">
        <f t="shared" si="2"/>
        <v>45590</v>
      </c>
      <c r="V7" s="19" t="s">
        <v>139</v>
      </c>
      <c r="W7" s="17"/>
      <c r="X7" s="17"/>
      <c r="Y7" s="19"/>
      <c r="Z7" s="17" t="s">
        <v>82</v>
      </c>
      <c r="AA7" s="17" t="s">
        <v>73</v>
      </c>
      <c r="AB7" s="31" t="s">
        <v>78</v>
      </c>
      <c r="AC7" s="17" t="s">
        <v>83</v>
      </c>
    </row>
    <row r="8" spans="1:29" s="20" customFormat="1" ht="30" customHeight="1" x14ac:dyDescent="0.3">
      <c r="A8" s="10">
        <v>6</v>
      </c>
      <c r="B8" s="11" t="s">
        <v>114</v>
      </c>
      <c r="C8" s="11">
        <v>1006</v>
      </c>
      <c r="D8" s="21" t="s">
        <v>21</v>
      </c>
      <c r="E8" s="12" t="s">
        <v>27</v>
      </c>
      <c r="F8" s="12" t="s">
        <v>11</v>
      </c>
      <c r="G8" s="13">
        <v>32572</v>
      </c>
      <c r="H8" s="8" t="s">
        <v>38</v>
      </c>
      <c r="I8" s="14">
        <v>44420</v>
      </c>
      <c r="J8" s="12" t="s">
        <v>39</v>
      </c>
      <c r="K8" s="12" t="s">
        <v>39</v>
      </c>
      <c r="L8" s="8" t="s">
        <v>60</v>
      </c>
      <c r="M8" s="16" t="s">
        <v>61</v>
      </c>
      <c r="N8" s="10">
        <v>40</v>
      </c>
      <c r="O8" s="10">
        <v>85</v>
      </c>
      <c r="P8" s="10">
        <v>100</v>
      </c>
      <c r="Q8" s="28">
        <v>45132</v>
      </c>
      <c r="R8" s="18">
        <f t="shared" si="0"/>
        <v>45224</v>
      </c>
      <c r="S8" s="19" t="s">
        <v>126</v>
      </c>
      <c r="T8" s="27">
        <f t="shared" si="1"/>
        <v>45225</v>
      </c>
      <c r="U8" s="27">
        <f t="shared" si="2"/>
        <v>45591</v>
      </c>
      <c r="V8" s="19" t="s">
        <v>140</v>
      </c>
      <c r="W8" s="17"/>
      <c r="X8" s="17"/>
      <c r="Y8" s="19"/>
      <c r="Z8" s="17" t="s">
        <v>84</v>
      </c>
      <c r="AA8" s="17" t="s">
        <v>73</v>
      </c>
      <c r="AB8" s="31" t="s">
        <v>85</v>
      </c>
      <c r="AC8" s="17" t="s">
        <v>86</v>
      </c>
    </row>
    <row r="9" spans="1:29" s="20" customFormat="1" ht="30" customHeight="1" x14ac:dyDescent="0.3">
      <c r="A9" s="10">
        <v>7</v>
      </c>
      <c r="B9" s="11" t="s">
        <v>115</v>
      </c>
      <c r="C9" s="11">
        <v>1007</v>
      </c>
      <c r="D9" s="22" t="s">
        <v>22</v>
      </c>
      <c r="E9" s="23" t="s">
        <v>27</v>
      </c>
      <c r="F9" s="12" t="s">
        <v>11</v>
      </c>
      <c r="G9" s="24">
        <v>36243</v>
      </c>
      <c r="H9" s="25" t="s">
        <v>40</v>
      </c>
      <c r="I9" s="24">
        <v>44320</v>
      </c>
      <c r="J9" s="23" t="s">
        <v>41</v>
      </c>
      <c r="K9" s="23" t="s">
        <v>62</v>
      </c>
      <c r="L9" s="25" t="s">
        <v>63</v>
      </c>
      <c r="M9" s="26" t="s">
        <v>64</v>
      </c>
      <c r="N9" s="10">
        <v>40</v>
      </c>
      <c r="O9" s="10">
        <v>85</v>
      </c>
      <c r="P9" s="10">
        <v>100</v>
      </c>
      <c r="Q9" s="28">
        <v>45133</v>
      </c>
      <c r="R9" s="18">
        <f t="shared" si="0"/>
        <v>45225</v>
      </c>
      <c r="S9" s="19" t="s">
        <v>127</v>
      </c>
      <c r="T9" s="27">
        <f t="shared" si="1"/>
        <v>45226</v>
      </c>
      <c r="U9" s="27">
        <f t="shared" si="2"/>
        <v>45592</v>
      </c>
      <c r="V9" s="19" t="s">
        <v>141</v>
      </c>
      <c r="W9" s="17"/>
      <c r="X9" s="17"/>
      <c r="Y9" s="19"/>
      <c r="Z9" s="17" t="s">
        <v>84</v>
      </c>
      <c r="AA9" s="17" t="s">
        <v>73</v>
      </c>
      <c r="AB9" s="31" t="s">
        <v>87</v>
      </c>
      <c r="AC9" s="17" t="s">
        <v>88</v>
      </c>
    </row>
    <row r="10" spans="1:29" s="20" customFormat="1" ht="30" customHeight="1" x14ac:dyDescent="0.3">
      <c r="A10" s="10">
        <v>8</v>
      </c>
      <c r="B10" s="11" t="s">
        <v>116</v>
      </c>
      <c r="C10" s="11">
        <v>1008</v>
      </c>
      <c r="D10" s="12" t="s">
        <v>23</v>
      </c>
      <c r="E10" s="12" t="s">
        <v>119</v>
      </c>
      <c r="F10" s="12" t="s">
        <v>120</v>
      </c>
      <c r="G10" s="13">
        <v>33938</v>
      </c>
      <c r="H10" s="8" t="s">
        <v>42</v>
      </c>
      <c r="I10" s="14">
        <v>44305</v>
      </c>
      <c r="J10" s="12" t="s">
        <v>43</v>
      </c>
      <c r="K10" s="12" t="s">
        <v>65</v>
      </c>
      <c r="L10" s="8" t="s">
        <v>66</v>
      </c>
      <c r="M10" s="16" t="s">
        <v>67</v>
      </c>
      <c r="N10" s="10">
        <v>40</v>
      </c>
      <c r="O10" s="10">
        <v>85</v>
      </c>
      <c r="P10" s="10">
        <v>100</v>
      </c>
      <c r="Q10" s="28">
        <v>44994</v>
      </c>
      <c r="R10" s="18">
        <f t="shared" si="0"/>
        <v>45086</v>
      </c>
      <c r="S10" s="19" t="s">
        <v>128</v>
      </c>
      <c r="T10" s="27">
        <f t="shared" si="1"/>
        <v>45087</v>
      </c>
      <c r="U10" s="27">
        <f t="shared" si="2"/>
        <v>45453</v>
      </c>
      <c r="V10" s="19" t="s">
        <v>142</v>
      </c>
      <c r="W10" s="17"/>
      <c r="X10" s="17"/>
      <c r="Y10" s="19"/>
      <c r="Z10" s="17" t="s">
        <v>89</v>
      </c>
      <c r="AA10" s="17" t="s">
        <v>73</v>
      </c>
      <c r="AB10" s="31" t="s">
        <v>26</v>
      </c>
      <c r="AC10" s="17" t="s">
        <v>90</v>
      </c>
    </row>
    <row r="11" spans="1:29" s="20" customFormat="1" ht="30" customHeight="1" x14ac:dyDescent="0.3">
      <c r="A11" s="10">
        <v>9</v>
      </c>
      <c r="B11" s="11" t="s">
        <v>117</v>
      </c>
      <c r="C11" s="11">
        <v>1009</v>
      </c>
      <c r="D11" s="12" t="s">
        <v>24</v>
      </c>
      <c r="E11" s="12" t="s">
        <v>119</v>
      </c>
      <c r="F11" s="12" t="s">
        <v>12</v>
      </c>
      <c r="G11" s="13">
        <v>34514</v>
      </c>
      <c r="H11" s="8" t="s">
        <v>44</v>
      </c>
      <c r="I11" s="14">
        <v>44315</v>
      </c>
      <c r="J11" s="12" t="s">
        <v>45</v>
      </c>
      <c r="K11" s="12" t="s">
        <v>45</v>
      </c>
      <c r="L11" s="8" t="s">
        <v>68</v>
      </c>
      <c r="M11" s="16" t="s">
        <v>69</v>
      </c>
      <c r="N11" s="10">
        <v>40</v>
      </c>
      <c r="O11" s="10">
        <v>85</v>
      </c>
      <c r="P11" s="10">
        <v>100</v>
      </c>
      <c r="Q11" s="28">
        <v>44994</v>
      </c>
      <c r="R11" s="18">
        <f t="shared" si="0"/>
        <v>45086</v>
      </c>
      <c r="S11" s="19" t="s">
        <v>129</v>
      </c>
      <c r="T11" s="27">
        <f t="shared" si="1"/>
        <v>45087</v>
      </c>
      <c r="U11" s="27">
        <f t="shared" si="2"/>
        <v>45453</v>
      </c>
      <c r="V11" s="19" t="s">
        <v>143</v>
      </c>
      <c r="W11" s="17"/>
      <c r="X11" s="17"/>
      <c r="Y11" s="19"/>
      <c r="Z11" s="17" t="s">
        <v>91</v>
      </c>
      <c r="AA11" s="17" t="s">
        <v>73</v>
      </c>
      <c r="AB11" s="31" t="s">
        <v>92</v>
      </c>
      <c r="AC11" s="17" t="s">
        <v>93</v>
      </c>
    </row>
    <row r="12" spans="1:29" s="20" customFormat="1" ht="30" customHeight="1" x14ac:dyDescent="0.3">
      <c r="A12" s="10">
        <v>10</v>
      </c>
      <c r="B12" s="11" t="s">
        <v>118</v>
      </c>
      <c r="C12" s="11">
        <v>1010</v>
      </c>
      <c r="D12" s="12" t="s">
        <v>25</v>
      </c>
      <c r="E12" s="12" t="s">
        <v>119</v>
      </c>
      <c r="F12" s="12" t="s">
        <v>12</v>
      </c>
      <c r="G12" s="13">
        <v>31567</v>
      </c>
      <c r="H12" s="8" t="s">
        <v>46</v>
      </c>
      <c r="I12" s="14">
        <v>44417</v>
      </c>
      <c r="J12" s="12" t="s">
        <v>47</v>
      </c>
      <c r="K12" s="12" t="s">
        <v>47</v>
      </c>
      <c r="L12" s="8" t="s">
        <v>70</v>
      </c>
      <c r="M12" s="16" t="s">
        <v>71</v>
      </c>
      <c r="N12" s="10">
        <v>40</v>
      </c>
      <c r="O12" s="10">
        <v>85</v>
      </c>
      <c r="P12" s="10">
        <v>100</v>
      </c>
      <c r="Q12" s="28">
        <v>44994</v>
      </c>
      <c r="R12" s="18">
        <f t="shared" si="0"/>
        <v>45086</v>
      </c>
      <c r="S12" s="19" t="s">
        <v>130</v>
      </c>
      <c r="T12" s="27">
        <f t="shared" si="1"/>
        <v>45087</v>
      </c>
      <c r="U12" s="27">
        <f t="shared" si="2"/>
        <v>45453</v>
      </c>
      <c r="V12" s="19" t="s">
        <v>144</v>
      </c>
      <c r="W12" s="17"/>
      <c r="X12" s="17"/>
      <c r="Y12" s="19"/>
      <c r="Z12" s="17" t="s">
        <v>94</v>
      </c>
      <c r="AA12" s="17" t="s">
        <v>73</v>
      </c>
      <c r="AB12" s="31" t="s">
        <v>95</v>
      </c>
      <c r="AC12" s="17" t="s">
        <v>96</v>
      </c>
    </row>
  </sheetData>
  <autoFilter ref="A2:AC12" xr:uid="{00000000-0009-0000-0000-000000000000}"/>
  <conditionalFormatting sqref="B3:C12">
    <cfRule type="duplicateValues" dxfId="3" priority="5"/>
    <cfRule type="duplicateValues" dxfId="2" priority="6"/>
    <cfRule type="duplicateValues" dxfId="1" priority="7"/>
  </conditionalFormatting>
  <conditionalFormatting sqref="B3:C12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MinhDuc</dc:creator>
  <cp:lastModifiedBy>Lee Minh</cp:lastModifiedBy>
  <dcterms:created xsi:type="dcterms:W3CDTF">2023-05-30T03:58:39Z</dcterms:created>
  <dcterms:modified xsi:type="dcterms:W3CDTF">2024-02-28T14:51:08Z</dcterms:modified>
</cp:coreProperties>
</file>